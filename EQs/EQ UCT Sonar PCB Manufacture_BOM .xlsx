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C:\Users\jtaylor\Documents\Sonar\EQs\"/>
    </mc:Choice>
  </mc:AlternateContent>
  <xr:revisionPtr revIDLastSave="0" documentId="13_ncr:1_{86E48EE7-E215-4B8A-9B55-4EDE5152B6B3}" xr6:coauthVersionLast="47" xr6:coauthVersionMax="47" xr10:uidLastSave="{00000000-0000-0000-0000-000000000000}"/>
  <bookViews>
    <workbookView xWindow="-120" yWindow="-120" windowWidth="38640" windowHeight="21240" activeTab="1" xr2:uid="{00000000-000D-0000-FFFF-FFFF00000000}"/>
  </bookViews>
  <sheets>
    <sheet name="89772A1_BOM" sheetId="1" r:id="rId1"/>
    <sheet name="89772A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22" i="2" l="1"/>
  <c r="I21" i="2"/>
  <c r="G21" i="2"/>
  <c r="I20" i="2"/>
  <c r="G20" i="2"/>
  <c r="I19" i="2"/>
  <c r="G19" i="2"/>
  <c r="I18" i="2"/>
  <c r="G18" i="2"/>
  <c r="I17" i="2"/>
  <c r="G17" i="2"/>
  <c r="I16" i="2"/>
  <c r="G16" i="2"/>
  <c r="I15" i="2"/>
  <c r="G15" i="2"/>
  <c r="I14" i="2"/>
  <c r="G14" i="2"/>
  <c r="I13" i="2"/>
  <c r="G13" i="2"/>
  <c r="I12" i="2"/>
  <c r="G12" i="2"/>
  <c r="I11" i="2"/>
  <c r="G11" i="2"/>
  <c r="I10" i="2"/>
  <c r="G10" i="2"/>
  <c r="I9" i="2"/>
  <c r="G9" i="2"/>
  <c r="I8" i="2"/>
  <c r="G8" i="2"/>
  <c r="I7" i="2"/>
  <c r="G7" i="2"/>
  <c r="I6" i="2"/>
  <c r="G6" i="2"/>
  <c r="I5" i="2"/>
  <c r="G5" i="2"/>
  <c r="I4" i="2"/>
  <c r="G4" i="2"/>
  <c r="I3" i="2"/>
  <c r="G3" i="2"/>
  <c r="I2" i="2"/>
  <c r="G2" i="2"/>
</calcChain>
</file>

<file path=xl/sharedStrings.xml><?xml version="1.0" encoding="utf-8"?>
<sst xmlns="http://schemas.openxmlformats.org/spreadsheetml/2006/main" count="276" uniqueCount="107">
  <si>
    <t>Reference</t>
  </si>
  <si>
    <t>Qty</t>
  </si>
  <si>
    <t>Value</t>
  </si>
  <si>
    <t>MPN</t>
  </si>
  <si>
    <t>Manufacturer</t>
  </si>
  <si>
    <t>C1,C3</t>
  </si>
  <si>
    <t>C0603_100p</t>
  </si>
  <si>
    <t>GCG1885G1H101JA01D</t>
  </si>
  <si>
    <t>Murata</t>
  </si>
  <si>
    <t>C2,C6</t>
  </si>
  <si>
    <t>C0603_2n2</t>
  </si>
  <si>
    <t>GRM1885C1H222JA01D</t>
  </si>
  <si>
    <t>C4,C5,C8</t>
  </si>
  <si>
    <t>C0603_220n</t>
  </si>
  <si>
    <t>GCM188R71E224MA55J</t>
  </si>
  <si>
    <t>C7,C39,C40,C41,C42,C43,C44,C45,C46,C47,C48,C49,C50,C51,C52,C53,C54</t>
  </si>
  <si>
    <t>C0603_1u0</t>
  </si>
  <si>
    <t>GRT188R61H105KE13D</t>
  </si>
  <si>
    <t>MuRata</t>
  </si>
  <si>
    <t>C9,C10,C20,C21,C22,C23,C24,C25,C27,C28,C29,C30,C31,C32,C33,C34,C35,C36,C37,C38,C55,C56,C57,C58,C59,C60,C61,C62,C63,C64,C65,C66,C67,C68,C69,C70,C71,C72,C73,C74</t>
  </si>
  <si>
    <t>C0603_100n</t>
  </si>
  <si>
    <t xml:space="preserve">GCG188R91H104KA01D </t>
  </si>
  <si>
    <t>C11,C12,C13,C14,C15,C16,C17,C18,C19,C26</t>
  </si>
  <si>
    <t>C1206_22u</t>
  </si>
  <si>
    <t>C1206C226M4PACTU</t>
  </si>
  <si>
    <t>Kemet</t>
  </si>
  <si>
    <t>J1</t>
  </si>
  <si>
    <t>DIN-40-Female</t>
  </si>
  <si>
    <t>M20-7832042</t>
  </si>
  <si>
    <t>Harwin</t>
  </si>
  <si>
    <t>J2</t>
  </si>
  <si>
    <t>DIN-20</t>
  </si>
  <si>
    <t>70246-2004</t>
  </si>
  <si>
    <t>Molex</t>
  </si>
  <si>
    <t>R1,R2,R4,R91,R92,R93,R94,R99,R100,R101,R102,R107,R108,R109,R110,R115,R116,R117,R118</t>
  </si>
  <si>
    <t>R0603_1k0</t>
  </si>
  <si>
    <t>CRGP0603F1K0</t>
  </si>
  <si>
    <t>TE Connectivity</t>
  </si>
  <si>
    <t>R3,R5</t>
  </si>
  <si>
    <t>R0603_12k</t>
  </si>
  <si>
    <t>CRGP0603F12K</t>
  </si>
  <si>
    <t>R6,R7,R8,R9,R10,R11,R12,R13,R14,R15,R16,R17,R18,R19,R20,R21</t>
  </si>
  <si>
    <t>R0603_10R</t>
  </si>
  <si>
    <t>CRGP0603F10R</t>
  </si>
  <si>
    <t>R22,R31,R33,R35,R37,R47,R49,R51,R53,R63,R65,R67,R69,R79,R81,R83,R85</t>
  </si>
  <si>
    <t>R0603_3k6</t>
  </si>
  <si>
    <t>CRGP0603F3K6</t>
  </si>
  <si>
    <t>R23,R25,R27,R29,R39,R41,R43,R45,R55,R57,R59,R61,R71,R73,R75,R77</t>
  </si>
  <si>
    <t>R0603_5k6</t>
  </si>
  <si>
    <t>CRGP0603F5K6</t>
  </si>
  <si>
    <t>R24,R26,R28,R30,R32,R34,R36,R38,R40,R42,R44,R46,R48,R50,R52,R54,R56,R58,R60,R62,R64,R66,R68,R70,R72,R74,R76,R78,R80,R82,R84,R86,R87,R88,R89,R90,R95,R96,R97,R98,R103,R104,R105,R106,R111,R112,R113,R114</t>
  </si>
  <si>
    <t>R0603_100k</t>
  </si>
  <si>
    <t>CRGP0603F100K</t>
  </si>
  <si>
    <t>TP1,TP2,TP3</t>
  </si>
  <si>
    <t>Keystone_5011_Black</t>
  </si>
  <si>
    <t>Keystone</t>
  </si>
  <si>
    <t>TP4</t>
  </si>
  <si>
    <t>Keystone_5010_Red</t>
  </si>
  <si>
    <t>TP5,TP6,TP7,TP8,TP9,TP10,TP11</t>
  </si>
  <si>
    <t>Keystone_5014_Yellow</t>
  </si>
  <si>
    <t>U1</t>
  </si>
  <si>
    <t>TPA6211A1DRBR</t>
  </si>
  <si>
    <t>Texas Instruments</t>
  </si>
  <si>
    <t>U2,U3</t>
  </si>
  <si>
    <t>MAX11059</t>
  </si>
  <si>
    <t>MAX11059ECB+</t>
  </si>
  <si>
    <t>Analog Devices</t>
  </si>
  <si>
    <t>U4,U5,U6,U7</t>
  </si>
  <si>
    <t>AD8534ARZ-REEL</t>
  </si>
  <si>
    <t>Qty25</t>
  </si>
  <si>
    <t>Unit price
(USD)</t>
  </si>
  <si>
    <t>Total price 
(Per Board)</t>
  </si>
  <si>
    <t>Available</t>
  </si>
  <si>
    <t>MOQ</t>
  </si>
  <si>
    <t>Offer P/N</t>
  </si>
  <si>
    <t>Brand</t>
  </si>
  <si>
    <t>description</t>
  </si>
  <si>
    <t>Lead Time</t>
  </si>
  <si>
    <t>Remark</t>
  </si>
  <si>
    <t>Customer feedback</t>
  </si>
  <si>
    <t>CAP CER 100PF 50V X8G 0603</t>
  </si>
  <si>
    <t>in stock</t>
  </si>
  <si>
    <t>62K+</t>
  </si>
  <si>
    <t>CAP CER 2200PF 50V C0G/NP0 0603</t>
  </si>
  <si>
    <t>CAP CER 0.22UF 25V X7R 0603</t>
  </si>
  <si>
    <t>10-14 Working days</t>
  </si>
  <si>
    <t xml:space="preserve">
40K+</t>
  </si>
  <si>
    <t>1UF ±10% 50V X5R 0603</t>
  </si>
  <si>
    <t>CAP CER 0.1UF 50V X8R 0603</t>
  </si>
  <si>
    <t>CAP CER 22UF 16V X5R 1206</t>
  </si>
  <si>
    <t>CONN RCPT 40POS 0.1 GOLD PCB</t>
  </si>
  <si>
    <t>CONN HEADER VERT 20POS 2.54MM</t>
  </si>
  <si>
    <t>RES 1K OHM 1% 1/4W 0603</t>
  </si>
  <si>
    <t>RES 12K OHM 1% 1/4W 0603</t>
  </si>
  <si>
    <t>RES 10 OHM 1% 1/4W 0603</t>
  </si>
  <si>
    <t>ERJ-UP3F3601V</t>
  </si>
  <si>
    <t>Panasonic</t>
  </si>
  <si>
    <t>RES 3.6K OHM 1% 1/4W 0603</t>
  </si>
  <si>
    <t>The original PN is out of stock. Please confirm if the quoted P/N is acceptable.</t>
  </si>
  <si>
    <t>RES 5.6K OHM 1% 1/4W 0603</t>
  </si>
  <si>
    <t>RES 100K OHM 1% 1/4W 0603</t>
  </si>
  <si>
    <t>IC AMP CLASS AB MONO 3.1W 8SON</t>
  </si>
  <si>
    <t>IC ADC 14BIT 64-TQFP-EP</t>
  </si>
  <si>
    <t>IC OPAMP GP 4 CIRCUIT 14SOIC</t>
  </si>
  <si>
    <t>The Batch is 22+.
 Please confirm if this is acceptable.</t>
  </si>
  <si>
    <t>Total price
(USD)</t>
  </si>
  <si>
    <t>接受(acc)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</si>
</sst>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8" formatCode="0.000000_ "/>
    <numFmt numFmtId="169" formatCode="0.000_ "/>
    <numFmt numFmtId="170" formatCode="0.00_ "/>
  </numFmts>
  <fonts count="8">
    <font>
      <sz val="11"/>
      <color theme="1"/>
      <name val="Calibri"/>
      <charset val="134"/>
      <scheme val="minor"/>
    </font>
    <font>
      <sz val="10"/>
      <color theme="1"/>
      <name val="微软雅黑"/>
      <charset val="134"/>
    </font>
    <font>
      <b/>
      <sz val="10"/>
      <color rgb="FF000000"/>
      <name val="微软雅黑"/>
    </font>
    <font>
      <b/>
      <sz val="10"/>
      <color rgb="FF000000"/>
      <name val="微软雅黑"/>
      <charset val="134"/>
    </font>
    <font>
      <b/>
      <sz val="10"/>
      <color indexed="8"/>
      <name val="微软雅黑"/>
      <charset val="134"/>
    </font>
    <font>
      <b/>
      <sz val="10"/>
      <color rgb="FFFF0000"/>
      <name val="微软雅黑"/>
      <charset val="134"/>
    </font>
    <font>
      <b/>
      <sz val="10"/>
      <name val="微软雅黑"/>
      <charset val="134"/>
    </font>
    <font>
      <sz val="10"/>
      <color rgb="FFFF0000"/>
      <name val="微软雅黑"/>
      <charset val="134"/>
    </font>
  </fonts>
  <fills count="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168" fontId="1" fillId="0" borderId="0" xfId="0" applyNumberFormat="1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2" borderId="1" xfId="0" applyNumberFormat="1" applyFont="1" applyFill="1" applyBorder="1" applyAlignment="1" applyProtection="1">
      <alignment horizontal="center" vertical="center" wrapText="1"/>
    </xf>
    <xf numFmtId="168" fontId="3" fillId="3" borderId="1" xfId="0" applyNumberFormat="1" applyFont="1" applyFill="1" applyBorder="1" applyAlignment="1">
      <alignment horizontal="center" vertical="center" wrapText="1"/>
    </xf>
    <xf numFmtId="168" fontId="3" fillId="4" borderId="1" xfId="0" applyNumberFormat="1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168" fontId="1" fillId="0" borderId="1" xfId="0" applyNumberFormat="1" applyFont="1" applyBorder="1" applyAlignment="1">
      <alignment horizontal="center" vertical="center" wrapText="1"/>
    </xf>
    <xf numFmtId="3" fontId="1" fillId="0" borderId="1" xfId="0" applyNumberFormat="1" applyFont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168" fontId="1" fillId="0" borderId="1" xfId="0" applyNumberFormat="1" applyFont="1" applyBorder="1" applyAlignment="1">
      <alignment horizontal="center" vertical="center"/>
    </xf>
    <xf numFmtId="3" fontId="1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168" fontId="1" fillId="0" borderId="1" xfId="0" applyNumberFormat="1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 wrapText="1"/>
    </xf>
    <xf numFmtId="169" fontId="1" fillId="7" borderId="1" xfId="0" applyNumberFormat="1" applyFont="1" applyFill="1" applyBorder="1" applyAlignment="1">
      <alignment horizontal="center" vertical="center" wrapText="1"/>
    </xf>
    <xf numFmtId="170" fontId="1" fillId="7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34">
    <dxf>
      <fill>
        <patternFill patternType="solid">
          <bgColor rgb="FFFFFF00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99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33"/>
      <tableStyleElement type="headerRow" dxfId="32"/>
      <tableStyleElement type="totalRow" dxfId="31"/>
      <tableStyleElement type="firstColumn" dxfId="30"/>
      <tableStyleElement type="lastColumn" dxfId="29"/>
      <tableStyleElement type="firstRowStripe" dxfId="28"/>
      <tableStyleElement type="firstColumnStripe" dxfId="27"/>
    </tableStyle>
    <tableStyle name="PivotStylePreset2_Accent1" table="0" count="10" xr9:uid="{267968C8-6FFD-4C36-ACC1-9EA1FD1885CA}">
      <tableStyleElement type="headerRow" dxfId="26"/>
      <tableStyleElement type="totalRow" dxfId="25"/>
      <tableStyleElement type="firstRowStripe" dxfId="24"/>
      <tableStyleElement type="firstColumnStripe" dxfId="23"/>
      <tableStyleElement type="firstSubtotalRow" dxfId="22"/>
      <tableStyleElement type="secondSubtotalRow" dxfId="21"/>
      <tableStyleElement type="firstRowSubheading" dxfId="20"/>
      <tableStyleElement type="secondRowSubheading" dxfId="19"/>
      <tableStyleElement type="pageFieldLabels" dxfId="18"/>
      <tableStyleElement type="pageFieldValues" dxfId="17"/>
    </tableStyle>
  </tableStyles>
  <colors>
    <mruColors>
      <color rgb="FFFF0000"/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workbookViewId="0"/>
  </sheetViews>
  <sheetFormatPr defaultColWidth="9"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>
        <v>2</v>
      </c>
      <c r="C2" t="s">
        <v>6</v>
      </c>
      <c r="D2" t="s">
        <v>7</v>
      </c>
      <c r="E2" t="s">
        <v>8</v>
      </c>
    </row>
    <row r="3" spans="1:5">
      <c r="A3" t="s">
        <v>9</v>
      </c>
      <c r="B3">
        <v>2</v>
      </c>
      <c r="C3" t="s">
        <v>10</v>
      </c>
      <c r="D3" t="s">
        <v>11</v>
      </c>
      <c r="E3" t="s">
        <v>8</v>
      </c>
    </row>
    <row r="4" spans="1:5">
      <c r="A4" t="s">
        <v>12</v>
      </c>
      <c r="B4">
        <v>3</v>
      </c>
      <c r="C4" t="s">
        <v>13</v>
      </c>
      <c r="D4" t="s">
        <v>14</v>
      </c>
      <c r="E4" t="s">
        <v>8</v>
      </c>
    </row>
    <row r="5" spans="1:5">
      <c r="A5" t="s">
        <v>15</v>
      </c>
      <c r="B5">
        <v>17</v>
      </c>
      <c r="C5" t="s">
        <v>16</v>
      </c>
      <c r="D5" t="s">
        <v>17</v>
      </c>
      <c r="E5" t="s">
        <v>18</v>
      </c>
    </row>
    <row r="6" spans="1:5">
      <c r="A6" t="s">
        <v>19</v>
      </c>
      <c r="B6">
        <v>40</v>
      </c>
      <c r="C6" t="s">
        <v>20</v>
      </c>
      <c r="D6" t="s">
        <v>21</v>
      </c>
      <c r="E6" t="s">
        <v>8</v>
      </c>
    </row>
    <row r="7" spans="1:5">
      <c r="A7" t="s">
        <v>22</v>
      </c>
      <c r="B7">
        <v>10</v>
      </c>
      <c r="C7" t="s">
        <v>23</v>
      </c>
      <c r="D7" t="s">
        <v>24</v>
      </c>
      <c r="E7" t="s">
        <v>25</v>
      </c>
    </row>
    <row r="8" spans="1:5">
      <c r="A8" t="s">
        <v>26</v>
      </c>
      <c r="B8">
        <v>1</v>
      </c>
      <c r="C8" t="s">
        <v>27</v>
      </c>
      <c r="D8" t="s">
        <v>28</v>
      </c>
      <c r="E8" t="s">
        <v>29</v>
      </c>
    </row>
    <row r="9" spans="1:5">
      <c r="A9" t="s">
        <v>30</v>
      </c>
      <c r="B9">
        <v>1</v>
      </c>
      <c r="C9" t="s">
        <v>31</v>
      </c>
      <c r="D9" t="s">
        <v>32</v>
      </c>
      <c r="E9" t="s">
        <v>33</v>
      </c>
    </row>
    <row r="10" spans="1:5">
      <c r="A10" t="s">
        <v>34</v>
      </c>
      <c r="B10">
        <v>19</v>
      </c>
      <c r="C10" t="s">
        <v>35</v>
      </c>
      <c r="D10" t="s">
        <v>36</v>
      </c>
      <c r="E10" t="s">
        <v>37</v>
      </c>
    </row>
    <row r="11" spans="1:5">
      <c r="A11" t="s">
        <v>38</v>
      </c>
      <c r="B11">
        <v>2</v>
      </c>
      <c r="C11" t="s">
        <v>39</v>
      </c>
      <c r="D11" t="s">
        <v>40</v>
      </c>
      <c r="E11" t="s">
        <v>37</v>
      </c>
    </row>
    <row r="12" spans="1:5">
      <c r="A12" t="s">
        <v>41</v>
      </c>
      <c r="B12">
        <v>16</v>
      </c>
      <c r="C12" t="s">
        <v>42</v>
      </c>
      <c r="D12" t="s">
        <v>43</v>
      </c>
      <c r="E12" t="s">
        <v>37</v>
      </c>
    </row>
    <row r="13" spans="1:5">
      <c r="A13" t="s">
        <v>44</v>
      </c>
      <c r="B13">
        <v>17</v>
      </c>
      <c r="C13" t="s">
        <v>45</v>
      </c>
      <c r="D13" t="s">
        <v>46</v>
      </c>
      <c r="E13" t="s">
        <v>37</v>
      </c>
    </row>
    <row r="14" spans="1:5">
      <c r="A14" t="s">
        <v>47</v>
      </c>
      <c r="B14">
        <v>16</v>
      </c>
      <c r="C14" t="s">
        <v>48</v>
      </c>
      <c r="D14" t="s">
        <v>49</v>
      </c>
      <c r="E14" t="s">
        <v>37</v>
      </c>
    </row>
    <row r="15" spans="1:5">
      <c r="A15" t="s">
        <v>50</v>
      </c>
      <c r="B15">
        <v>48</v>
      </c>
      <c r="C15" t="s">
        <v>51</v>
      </c>
      <c r="D15" t="s">
        <v>52</v>
      </c>
      <c r="E15" t="s">
        <v>37</v>
      </c>
    </row>
    <row r="16" spans="1:5">
      <c r="A16" t="s">
        <v>53</v>
      </c>
      <c r="B16">
        <v>3</v>
      </c>
      <c r="C16" t="s">
        <v>54</v>
      </c>
      <c r="D16">
        <v>5011</v>
      </c>
      <c r="E16" t="s">
        <v>55</v>
      </c>
    </row>
    <row r="17" spans="1:5">
      <c r="A17" t="s">
        <v>56</v>
      </c>
      <c r="B17">
        <v>1</v>
      </c>
      <c r="C17" t="s">
        <v>57</v>
      </c>
      <c r="D17">
        <v>5010</v>
      </c>
      <c r="E17" t="s">
        <v>55</v>
      </c>
    </row>
    <row r="18" spans="1:5">
      <c r="A18" t="s">
        <v>58</v>
      </c>
      <c r="B18">
        <v>7</v>
      </c>
      <c r="C18" t="s">
        <v>59</v>
      </c>
      <c r="D18">
        <v>5014</v>
      </c>
      <c r="E18" t="s">
        <v>55</v>
      </c>
    </row>
    <row r="19" spans="1:5">
      <c r="A19" t="s">
        <v>60</v>
      </c>
      <c r="B19">
        <v>1</v>
      </c>
      <c r="C19" t="s">
        <v>61</v>
      </c>
      <c r="D19" t="s">
        <v>61</v>
      </c>
      <c r="E19" t="s">
        <v>62</v>
      </c>
    </row>
    <row r="20" spans="1:5">
      <c r="A20" t="s">
        <v>63</v>
      </c>
      <c r="B20">
        <v>2</v>
      </c>
      <c r="C20" t="s">
        <v>64</v>
      </c>
      <c r="D20" t="s">
        <v>65</v>
      </c>
      <c r="E20" t="s">
        <v>66</v>
      </c>
    </row>
    <row r="21" spans="1:5">
      <c r="A21" t="s">
        <v>67</v>
      </c>
      <c r="B21">
        <v>4</v>
      </c>
      <c r="C21" t="s">
        <v>68</v>
      </c>
      <c r="D21" t="s">
        <v>68</v>
      </c>
      <c r="E21" t="s">
        <v>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22"/>
  <sheetViews>
    <sheetView tabSelected="1" topLeftCell="D1" zoomScale="85" zoomScaleNormal="85" workbookViewId="0">
      <selection activeCell="G21" sqref="G21"/>
    </sheetView>
  </sheetViews>
  <sheetFormatPr defaultColWidth="9" defaultRowHeight="16.5"/>
  <cols>
    <col min="1" max="1" width="9" style="2"/>
    <col min="2" max="2" width="21.85546875" style="2" customWidth="1"/>
    <col min="3" max="3" width="9" style="2" customWidth="1"/>
    <col min="4" max="4" width="23.7109375" style="2" customWidth="1"/>
    <col min="5" max="5" width="25" style="2" customWidth="1"/>
    <col min="6" max="6" width="26.42578125" style="2" customWidth="1"/>
    <col min="7" max="7" width="9" style="2"/>
    <col min="8" max="8" width="13.42578125" style="3" customWidth="1"/>
    <col min="9" max="9" width="14.42578125" style="3" customWidth="1"/>
    <col min="10" max="11" width="9" style="2"/>
    <col min="12" max="12" width="21.7109375" style="2" customWidth="1"/>
    <col min="13" max="13" width="22.28515625" style="2" customWidth="1"/>
    <col min="14" max="14" width="34.42578125" style="2" customWidth="1"/>
    <col min="15" max="15" width="19.42578125" style="2" customWidth="1"/>
    <col min="16" max="16" width="32.140625" style="2" customWidth="1"/>
    <col min="17" max="17" width="18.140625" style="2" customWidth="1"/>
    <col min="18" max="16384" width="9" style="2"/>
  </cols>
  <sheetData>
    <row r="1" spans="1:17" ht="33"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5" t="s">
        <v>69</v>
      </c>
      <c r="H1" s="6" t="s">
        <v>70</v>
      </c>
      <c r="I1" s="7" t="s">
        <v>71</v>
      </c>
      <c r="J1" s="5" t="s">
        <v>72</v>
      </c>
      <c r="K1" s="5" t="s">
        <v>73</v>
      </c>
      <c r="L1" s="8" t="s">
        <v>74</v>
      </c>
      <c r="M1" s="9" t="s">
        <v>75</v>
      </c>
      <c r="N1" s="9" t="s">
        <v>76</v>
      </c>
      <c r="O1" s="10" t="s">
        <v>77</v>
      </c>
      <c r="P1" s="10" t="s">
        <v>78</v>
      </c>
      <c r="Q1" s="9" t="s">
        <v>79</v>
      </c>
    </row>
    <row r="2" spans="1:17">
      <c r="A2" s="4">
        <v>1</v>
      </c>
      <c r="B2" s="11" t="s">
        <v>5</v>
      </c>
      <c r="C2" s="4">
        <v>2</v>
      </c>
      <c r="D2" s="4" t="s">
        <v>6</v>
      </c>
      <c r="E2" s="4" t="s">
        <v>7</v>
      </c>
      <c r="F2" s="4" t="s">
        <v>8</v>
      </c>
      <c r="G2" s="4">
        <f>C2*25</f>
        <v>50</v>
      </c>
      <c r="H2" s="12">
        <v>0.11705599999999999</v>
      </c>
      <c r="I2" s="12">
        <f>C2*H2</f>
        <v>0.23411199999999999</v>
      </c>
      <c r="J2" s="13">
        <v>380</v>
      </c>
      <c r="K2" s="4">
        <v>10</v>
      </c>
      <c r="L2" s="4" t="s">
        <v>7</v>
      </c>
      <c r="M2" s="4" t="s">
        <v>8</v>
      </c>
      <c r="N2" s="4" t="s">
        <v>80</v>
      </c>
      <c r="O2" s="4" t="s">
        <v>81</v>
      </c>
      <c r="P2" s="4"/>
      <c r="Q2" s="14" t="s">
        <v>106</v>
      </c>
    </row>
    <row r="3" spans="1:17">
      <c r="A3" s="4">
        <v>2</v>
      </c>
      <c r="B3" s="11" t="s">
        <v>9</v>
      </c>
      <c r="C3" s="4">
        <v>2</v>
      </c>
      <c r="D3" s="4" t="s">
        <v>10</v>
      </c>
      <c r="E3" s="4" t="s">
        <v>11</v>
      </c>
      <c r="F3" s="4" t="s">
        <v>8</v>
      </c>
      <c r="G3" s="4">
        <f t="shared" ref="G3:G21" si="0">C3*25</f>
        <v>50</v>
      </c>
      <c r="H3" s="15">
        <v>1.78994117647059E-2</v>
      </c>
      <c r="I3" s="12">
        <f t="shared" ref="I3:I21" si="1">C3*H3</f>
        <v>3.57988235294118E-2</v>
      </c>
      <c r="J3" s="4" t="s">
        <v>82</v>
      </c>
      <c r="K3" s="4">
        <v>50</v>
      </c>
      <c r="L3" s="4" t="s">
        <v>11</v>
      </c>
      <c r="M3" s="4" t="s">
        <v>8</v>
      </c>
      <c r="N3" s="4" t="s">
        <v>83</v>
      </c>
      <c r="O3" s="4" t="s">
        <v>81</v>
      </c>
      <c r="P3" s="4"/>
      <c r="Q3" s="14" t="s">
        <v>106</v>
      </c>
    </row>
    <row r="4" spans="1:17">
      <c r="A4" s="4">
        <v>3</v>
      </c>
      <c r="B4" s="11" t="s">
        <v>12</v>
      </c>
      <c r="C4" s="4">
        <v>3</v>
      </c>
      <c r="D4" s="4" t="s">
        <v>13</v>
      </c>
      <c r="E4" s="4" t="s">
        <v>14</v>
      </c>
      <c r="F4" s="4" t="s">
        <v>8</v>
      </c>
      <c r="G4" s="4">
        <f t="shared" si="0"/>
        <v>75</v>
      </c>
      <c r="H4" s="15">
        <v>6.5357205882352901E-2</v>
      </c>
      <c r="I4" s="12">
        <f t="shared" si="1"/>
        <v>0.19607161764705899</v>
      </c>
      <c r="J4" s="16">
        <v>30150</v>
      </c>
      <c r="K4" s="4">
        <v>1</v>
      </c>
      <c r="L4" s="4" t="s">
        <v>14</v>
      </c>
      <c r="M4" s="4" t="s">
        <v>8</v>
      </c>
      <c r="N4" s="4" t="s">
        <v>84</v>
      </c>
      <c r="O4" s="17" t="s">
        <v>85</v>
      </c>
      <c r="P4" s="17"/>
      <c r="Q4" s="14" t="s">
        <v>106</v>
      </c>
    </row>
    <row r="5" spans="1:17" ht="33">
      <c r="A5" s="4">
        <v>4</v>
      </c>
      <c r="B5" s="11" t="s">
        <v>15</v>
      </c>
      <c r="C5" s="4">
        <v>17</v>
      </c>
      <c r="D5" s="4" t="s">
        <v>16</v>
      </c>
      <c r="E5" s="4" t="s">
        <v>17</v>
      </c>
      <c r="F5" s="4" t="s">
        <v>18</v>
      </c>
      <c r="G5" s="4">
        <f t="shared" si="0"/>
        <v>425</v>
      </c>
      <c r="H5" s="12">
        <v>2.6260588235294102E-2</v>
      </c>
      <c r="I5" s="12">
        <f t="shared" si="1"/>
        <v>0.44642999999999999</v>
      </c>
      <c r="J5" s="18" t="s">
        <v>86</v>
      </c>
      <c r="K5" s="4">
        <v>20</v>
      </c>
      <c r="L5" s="4" t="s">
        <v>17</v>
      </c>
      <c r="M5" s="4" t="s">
        <v>18</v>
      </c>
      <c r="N5" s="4" t="s">
        <v>87</v>
      </c>
      <c r="O5" s="17"/>
      <c r="P5" s="17"/>
      <c r="Q5" s="14" t="s">
        <v>106</v>
      </c>
    </row>
    <row r="6" spans="1:17" ht="132">
      <c r="A6" s="4">
        <v>5</v>
      </c>
      <c r="B6" s="19" t="s">
        <v>19</v>
      </c>
      <c r="C6" s="4">
        <v>40</v>
      </c>
      <c r="D6" s="4" t="s">
        <v>20</v>
      </c>
      <c r="E6" s="4" t="s">
        <v>21</v>
      </c>
      <c r="F6" s="4" t="s">
        <v>8</v>
      </c>
      <c r="G6" s="4">
        <f t="shared" si="0"/>
        <v>1000</v>
      </c>
      <c r="H6" s="15">
        <v>0.12429335294117599</v>
      </c>
      <c r="I6" s="12">
        <f t="shared" si="1"/>
        <v>4.9717341176470597</v>
      </c>
      <c r="J6" s="16">
        <v>37573</v>
      </c>
      <c r="K6" s="4">
        <v>1</v>
      </c>
      <c r="L6" s="4" t="s">
        <v>21</v>
      </c>
      <c r="M6" s="4" t="s">
        <v>8</v>
      </c>
      <c r="N6" s="4" t="s">
        <v>88</v>
      </c>
      <c r="O6" s="4" t="s">
        <v>81</v>
      </c>
      <c r="P6" s="17"/>
      <c r="Q6" s="14" t="s">
        <v>106</v>
      </c>
    </row>
    <row r="7" spans="1:17">
      <c r="A7" s="4">
        <v>6</v>
      </c>
      <c r="B7" s="11" t="s">
        <v>22</v>
      </c>
      <c r="C7" s="4">
        <v>10</v>
      </c>
      <c r="D7" s="4" t="s">
        <v>23</v>
      </c>
      <c r="E7" s="4" t="s">
        <v>24</v>
      </c>
      <c r="F7" s="4" t="s">
        <v>25</v>
      </c>
      <c r="G7" s="4">
        <f t="shared" si="0"/>
        <v>250</v>
      </c>
      <c r="H7" s="15">
        <v>0.50451176470588199</v>
      </c>
      <c r="I7" s="12">
        <f t="shared" si="1"/>
        <v>5.0451176470588202</v>
      </c>
      <c r="J7" s="4">
        <v>866</v>
      </c>
      <c r="K7" s="4">
        <v>1</v>
      </c>
      <c r="L7" s="4" t="s">
        <v>24</v>
      </c>
      <c r="M7" s="4" t="s">
        <v>25</v>
      </c>
      <c r="N7" s="4" t="s">
        <v>89</v>
      </c>
      <c r="O7" s="17" t="s">
        <v>85</v>
      </c>
      <c r="P7" s="17"/>
      <c r="Q7" s="14" t="s">
        <v>106</v>
      </c>
    </row>
    <row r="8" spans="1:17">
      <c r="A8" s="4">
        <v>7</v>
      </c>
      <c r="B8" s="11" t="s">
        <v>26</v>
      </c>
      <c r="C8" s="4">
        <v>1</v>
      </c>
      <c r="D8" s="4" t="s">
        <v>27</v>
      </c>
      <c r="E8" s="4" t="s">
        <v>28</v>
      </c>
      <c r="F8" s="4" t="s">
        <v>29</v>
      </c>
      <c r="G8" s="4">
        <f t="shared" si="0"/>
        <v>25</v>
      </c>
      <c r="H8" s="15">
        <v>7.2101311764705898</v>
      </c>
      <c r="I8" s="12">
        <f t="shared" si="1"/>
        <v>7.2101311764705898</v>
      </c>
      <c r="J8" s="4">
        <v>161</v>
      </c>
      <c r="K8" s="4">
        <v>1</v>
      </c>
      <c r="L8" s="4" t="s">
        <v>28</v>
      </c>
      <c r="M8" s="4" t="s">
        <v>29</v>
      </c>
      <c r="N8" s="4" t="s">
        <v>90</v>
      </c>
      <c r="O8" s="17" t="s">
        <v>85</v>
      </c>
      <c r="P8" s="17"/>
      <c r="Q8" s="14" t="s">
        <v>106</v>
      </c>
    </row>
    <row r="9" spans="1:17">
      <c r="A9" s="4">
        <v>8</v>
      </c>
      <c r="B9" s="11" t="s">
        <v>30</v>
      </c>
      <c r="C9" s="4">
        <v>1</v>
      </c>
      <c r="D9" s="4" t="s">
        <v>31</v>
      </c>
      <c r="E9" s="4" t="s">
        <v>32</v>
      </c>
      <c r="F9" s="4" t="s">
        <v>33</v>
      </c>
      <c r="G9" s="4">
        <f t="shared" si="0"/>
        <v>25</v>
      </c>
      <c r="H9" s="15">
        <v>3.9443647058823501</v>
      </c>
      <c r="I9" s="12">
        <f t="shared" si="1"/>
        <v>3.9443647058823501</v>
      </c>
      <c r="J9" s="16">
        <v>3936</v>
      </c>
      <c r="K9" s="4">
        <v>1</v>
      </c>
      <c r="L9" s="4" t="s">
        <v>32</v>
      </c>
      <c r="M9" s="4" t="s">
        <v>33</v>
      </c>
      <c r="N9" s="4" t="s">
        <v>91</v>
      </c>
      <c r="O9" s="17" t="s">
        <v>85</v>
      </c>
      <c r="P9" s="17"/>
      <c r="Q9" s="14" t="s">
        <v>106</v>
      </c>
    </row>
    <row r="10" spans="1:17">
      <c r="A10" s="4">
        <v>9</v>
      </c>
      <c r="B10" s="11" t="s">
        <v>34</v>
      </c>
      <c r="C10" s="4">
        <v>19</v>
      </c>
      <c r="D10" s="4" t="s">
        <v>35</v>
      </c>
      <c r="E10" s="4" t="s">
        <v>36</v>
      </c>
      <c r="F10" s="4" t="s">
        <v>37</v>
      </c>
      <c r="G10" s="4">
        <f t="shared" si="0"/>
        <v>475</v>
      </c>
      <c r="H10" s="15">
        <v>6.8797058823529406E-2</v>
      </c>
      <c r="I10" s="12">
        <f t="shared" si="1"/>
        <v>1.30714411764706</v>
      </c>
      <c r="J10" s="16">
        <v>5508</v>
      </c>
      <c r="K10" s="4">
        <v>1</v>
      </c>
      <c r="L10" s="4" t="s">
        <v>36</v>
      </c>
      <c r="M10" s="4" t="s">
        <v>37</v>
      </c>
      <c r="N10" s="4" t="s">
        <v>92</v>
      </c>
      <c r="O10" s="17" t="s">
        <v>85</v>
      </c>
      <c r="P10" s="17"/>
      <c r="Q10" s="14" t="s">
        <v>106</v>
      </c>
    </row>
    <row r="11" spans="1:17">
      <c r="A11" s="4">
        <v>10</v>
      </c>
      <c r="B11" s="11" t="s">
        <v>38</v>
      </c>
      <c r="C11" s="4">
        <v>2</v>
      </c>
      <c r="D11" s="4" t="s">
        <v>39</v>
      </c>
      <c r="E11" s="4" t="s">
        <v>40</v>
      </c>
      <c r="F11" s="4" t="s">
        <v>37</v>
      </c>
      <c r="G11" s="4">
        <f t="shared" si="0"/>
        <v>50</v>
      </c>
      <c r="H11" s="15">
        <v>9.7462499999999994E-2</v>
      </c>
      <c r="I11" s="12">
        <f t="shared" si="1"/>
        <v>0.19492499999999999</v>
      </c>
      <c r="J11" s="16">
        <v>11187</v>
      </c>
      <c r="K11" s="4">
        <v>1</v>
      </c>
      <c r="L11" s="4" t="s">
        <v>40</v>
      </c>
      <c r="M11" s="4" t="s">
        <v>37</v>
      </c>
      <c r="N11" s="4" t="s">
        <v>93</v>
      </c>
      <c r="O11" s="17" t="s">
        <v>85</v>
      </c>
      <c r="P11" s="17"/>
      <c r="Q11" s="14" t="s">
        <v>106</v>
      </c>
    </row>
    <row r="12" spans="1:17">
      <c r="A12" s="4">
        <v>11</v>
      </c>
      <c r="B12" s="11" t="s">
        <v>41</v>
      </c>
      <c r="C12" s="4">
        <v>16</v>
      </c>
      <c r="D12" s="4" t="s">
        <v>42</v>
      </c>
      <c r="E12" s="4" t="s">
        <v>43</v>
      </c>
      <c r="F12" s="4" t="s">
        <v>37</v>
      </c>
      <c r="G12" s="4">
        <f t="shared" si="0"/>
        <v>400</v>
      </c>
      <c r="H12" s="12">
        <v>6.8797058823529406E-2</v>
      </c>
      <c r="I12" s="12">
        <f t="shared" si="1"/>
        <v>1.10075294117647</v>
      </c>
      <c r="J12" s="13">
        <v>29556</v>
      </c>
      <c r="K12" s="4">
        <v>1</v>
      </c>
      <c r="L12" s="4" t="s">
        <v>43</v>
      </c>
      <c r="M12" s="4" t="s">
        <v>37</v>
      </c>
      <c r="N12" s="4" t="s">
        <v>94</v>
      </c>
      <c r="O12" s="17" t="s">
        <v>85</v>
      </c>
      <c r="P12" s="17"/>
      <c r="Q12" s="14" t="s">
        <v>106</v>
      </c>
    </row>
    <row r="13" spans="1:17" ht="49.5">
      <c r="A13" s="4">
        <v>12</v>
      </c>
      <c r="B13" s="11" t="s">
        <v>44</v>
      </c>
      <c r="C13" s="4">
        <v>17</v>
      </c>
      <c r="D13" s="4" t="s">
        <v>45</v>
      </c>
      <c r="E13" s="4" t="s">
        <v>46</v>
      </c>
      <c r="F13" s="4" t="s">
        <v>37</v>
      </c>
      <c r="G13" s="4">
        <f t="shared" si="0"/>
        <v>425</v>
      </c>
      <c r="H13" s="15">
        <v>9.0582794117647095E-2</v>
      </c>
      <c r="I13" s="12">
        <f t="shared" si="1"/>
        <v>1.5399075</v>
      </c>
      <c r="J13" s="16">
        <v>7940</v>
      </c>
      <c r="K13" s="4">
        <v>1</v>
      </c>
      <c r="L13" s="17" t="s">
        <v>95</v>
      </c>
      <c r="M13" s="4" t="s">
        <v>96</v>
      </c>
      <c r="N13" s="4" t="s">
        <v>97</v>
      </c>
      <c r="O13" s="17" t="s">
        <v>85</v>
      </c>
      <c r="P13" s="20" t="s">
        <v>98</v>
      </c>
      <c r="Q13" s="14" t="s">
        <v>106</v>
      </c>
    </row>
    <row r="14" spans="1:17">
      <c r="A14" s="4">
        <v>13</v>
      </c>
      <c r="B14" s="11" t="s">
        <v>47</v>
      </c>
      <c r="C14" s="4">
        <v>16</v>
      </c>
      <c r="D14" s="4" t="s">
        <v>48</v>
      </c>
      <c r="E14" s="4" t="s">
        <v>49</v>
      </c>
      <c r="F14" s="4" t="s">
        <v>37</v>
      </c>
      <c r="G14" s="4">
        <f t="shared" si="0"/>
        <v>400</v>
      </c>
      <c r="H14" s="15">
        <v>6.8797058823529406E-2</v>
      </c>
      <c r="I14" s="12">
        <f t="shared" si="1"/>
        <v>1.10075294117647</v>
      </c>
      <c r="J14" s="16">
        <v>30500</v>
      </c>
      <c r="K14" s="4">
        <v>1</v>
      </c>
      <c r="L14" s="4" t="s">
        <v>49</v>
      </c>
      <c r="M14" s="4" t="s">
        <v>37</v>
      </c>
      <c r="N14" s="4" t="s">
        <v>99</v>
      </c>
      <c r="O14" s="17" t="s">
        <v>85</v>
      </c>
      <c r="P14" s="17"/>
      <c r="Q14" s="14" t="s">
        <v>106</v>
      </c>
    </row>
    <row r="15" spans="1:17">
      <c r="A15" s="4">
        <v>14</v>
      </c>
      <c r="B15" s="11" t="s">
        <v>50</v>
      </c>
      <c r="C15" s="4">
        <v>48</v>
      </c>
      <c r="D15" s="4" t="s">
        <v>51</v>
      </c>
      <c r="E15" s="4" t="s">
        <v>52</v>
      </c>
      <c r="F15" s="4" t="s">
        <v>37</v>
      </c>
      <c r="G15" s="4">
        <f t="shared" si="0"/>
        <v>1200</v>
      </c>
      <c r="H15" s="15">
        <v>5.3661705882352903E-2</v>
      </c>
      <c r="I15" s="12">
        <f t="shared" si="1"/>
        <v>2.57576188235294</v>
      </c>
      <c r="J15" s="16">
        <v>25837</v>
      </c>
      <c r="K15" s="4">
        <v>1</v>
      </c>
      <c r="L15" s="4" t="s">
        <v>52</v>
      </c>
      <c r="M15" s="4" t="s">
        <v>37</v>
      </c>
      <c r="N15" s="4" t="s">
        <v>100</v>
      </c>
      <c r="O15" s="17" t="s">
        <v>85</v>
      </c>
      <c r="P15" s="17"/>
      <c r="Q15" s="14" t="s">
        <v>106</v>
      </c>
    </row>
    <row r="16" spans="1:17">
      <c r="A16" s="4">
        <v>15</v>
      </c>
      <c r="B16" s="11" t="s">
        <v>53</v>
      </c>
      <c r="C16" s="4">
        <v>3</v>
      </c>
      <c r="D16" s="4" t="s">
        <v>54</v>
      </c>
      <c r="E16" s="4">
        <v>5011</v>
      </c>
      <c r="F16" s="4" t="s">
        <v>55</v>
      </c>
      <c r="G16" s="4">
        <f t="shared" si="0"/>
        <v>75</v>
      </c>
      <c r="H16" s="15">
        <v>0.41805882352941198</v>
      </c>
      <c r="I16" s="12">
        <f t="shared" si="1"/>
        <v>1.2541764705882401</v>
      </c>
      <c r="J16" s="4">
        <v>1971</v>
      </c>
      <c r="K16" s="4">
        <v>1</v>
      </c>
      <c r="L16" s="4">
        <v>5011</v>
      </c>
      <c r="M16" s="4" t="s">
        <v>55</v>
      </c>
      <c r="N16" s="4" t="s">
        <v>54</v>
      </c>
      <c r="O16" s="4" t="s">
        <v>81</v>
      </c>
      <c r="P16" s="17"/>
      <c r="Q16" s="14" t="s">
        <v>106</v>
      </c>
    </row>
    <row r="17" spans="1:17">
      <c r="A17" s="4">
        <v>16</v>
      </c>
      <c r="B17" s="11" t="s">
        <v>56</v>
      </c>
      <c r="C17" s="4">
        <v>1</v>
      </c>
      <c r="D17" s="4" t="s">
        <v>57</v>
      </c>
      <c r="E17" s="4">
        <v>5010</v>
      </c>
      <c r="F17" s="4" t="s">
        <v>55</v>
      </c>
      <c r="G17" s="4">
        <f t="shared" si="0"/>
        <v>25</v>
      </c>
      <c r="H17" s="12">
        <v>0.55402941176470599</v>
      </c>
      <c r="I17" s="12">
        <f t="shared" si="1"/>
        <v>0.55402941176470599</v>
      </c>
      <c r="J17" s="18">
        <v>4232</v>
      </c>
      <c r="K17" s="4">
        <v>1</v>
      </c>
      <c r="L17" s="4">
        <v>5010</v>
      </c>
      <c r="M17" s="4" t="s">
        <v>55</v>
      </c>
      <c r="N17" s="4" t="s">
        <v>57</v>
      </c>
      <c r="O17" s="4" t="s">
        <v>81</v>
      </c>
      <c r="P17" s="17"/>
      <c r="Q17" s="14" t="s">
        <v>106</v>
      </c>
    </row>
    <row r="18" spans="1:17">
      <c r="A18" s="4">
        <v>17</v>
      </c>
      <c r="B18" s="11" t="s">
        <v>58</v>
      </c>
      <c r="C18" s="4">
        <v>7</v>
      </c>
      <c r="D18" s="4" t="s">
        <v>59</v>
      </c>
      <c r="E18" s="4">
        <v>5014</v>
      </c>
      <c r="F18" s="4" t="s">
        <v>55</v>
      </c>
      <c r="G18" s="4">
        <f t="shared" si="0"/>
        <v>175</v>
      </c>
      <c r="H18" s="15">
        <v>0.373797352941176</v>
      </c>
      <c r="I18" s="12">
        <f t="shared" si="1"/>
        <v>2.6165814705882302</v>
      </c>
      <c r="J18" s="16">
        <v>120019</v>
      </c>
      <c r="K18" s="4">
        <v>1</v>
      </c>
      <c r="L18" s="4">
        <v>5014</v>
      </c>
      <c r="M18" s="4" t="s">
        <v>55</v>
      </c>
      <c r="N18" s="4" t="s">
        <v>59</v>
      </c>
      <c r="O18" s="17" t="s">
        <v>85</v>
      </c>
      <c r="P18" s="17"/>
      <c r="Q18" s="14" t="s">
        <v>106</v>
      </c>
    </row>
    <row r="19" spans="1:17">
      <c r="A19" s="4">
        <v>18</v>
      </c>
      <c r="B19" s="11" t="s">
        <v>60</v>
      </c>
      <c r="C19" s="4">
        <v>1</v>
      </c>
      <c r="D19" s="4" t="s">
        <v>61</v>
      </c>
      <c r="E19" s="4" t="s">
        <v>61</v>
      </c>
      <c r="F19" s="4" t="s">
        <v>62</v>
      </c>
      <c r="G19" s="4">
        <f t="shared" si="0"/>
        <v>25</v>
      </c>
      <c r="H19" s="15">
        <v>0.62302941176470605</v>
      </c>
      <c r="I19" s="12">
        <f t="shared" si="1"/>
        <v>0.62302941176470605</v>
      </c>
      <c r="J19" s="4">
        <v>996</v>
      </c>
      <c r="K19" s="4">
        <v>1</v>
      </c>
      <c r="L19" s="4" t="s">
        <v>61</v>
      </c>
      <c r="M19" s="4" t="s">
        <v>62</v>
      </c>
      <c r="N19" s="4" t="s">
        <v>101</v>
      </c>
      <c r="O19" s="4" t="s">
        <v>81</v>
      </c>
      <c r="P19" s="4"/>
      <c r="Q19" s="14" t="s">
        <v>106</v>
      </c>
    </row>
    <row r="20" spans="1:17" s="1" customFormat="1">
      <c r="A20" s="4">
        <v>19</v>
      </c>
      <c r="B20" s="21" t="s">
        <v>63</v>
      </c>
      <c r="C20" s="22">
        <v>2</v>
      </c>
      <c r="D20" s="22" t="s">
        <v>64</v>
      </c>
      <c r="E20" s="22" t="s">
        <v>65</v>
      </c>
      <c r="F20" s="22" t="s">
        <v>66</v>
      </c>
      <c r="G20" s="22">
        <f t="shared" si="0"/>
        <v>50</v>
      </c>
      <c r="H20" s="23">
        <v>38.285047058823501</v>
      </c>
      <c r="I20" s="12">
        <f t="shared" si="1"/>
        <v>76.570094117647102</v>
      </c>
      <c r="J20" s="22">
        <v>315</v>
      </c>
      <c r="K20" s="22">
        <v>1</v>
      </c>
      <c r="L20" s="22" t="s">
        <v>65</v>
      </c>
      <c r="M20" s="22" t="s">
        <v>66</v>
      </c>
      <c r="N20" s="22" t="s">
        <v>102</v>
      </c>
      <c r="O20" s="17" t="s">
        <v>85</v>
      </c>
      <c r="P20" s="24"/>
      <c r="Q20" s="14" t="s">
        <v>106</v>
      </c>
    </row>
    <row r="21" spans="1:17" s="1" customFormat="1" ht="49.5">
      <c r="A21" s="4">
        <v>20</v>
      </c>
      <c r="B21" s="21" t="s">
        <v>67</v>
      </c>
      <c r="C21" s="22">
        <v>4</v>
      </c>
      <c r="D21" s="22" t="s">
        <v>68</v>
      </c>
      <c r="E21" s="22" t="s">
        <v>68</v>
      </c>
      <c r="F21" s="22" t="s">
        <v>66</v>
      </c>
      <c r="G21" s="22">
        <f t="shared" si="0"/>
        <v>100</v>
      </c>
      <c r="H21" s="23">
        <v>2.9954117647058802</v>
      </c>
      <c r="I21" s="12">
        <f t="shared" si="1"/>
        <v>11.9816470588235</v>
      </c>
      <c r="J21" s="22"/>
      <c r="K21" s="22">
        <v>1</v>
      </c>
      <c r="L21" s="22" t="s">
        <v>68</v>
      </c>
      <c r="M21" s="22" t="s">
        <v>66</v>
      </c>
      <c r="N21" s="22" t="s">
        <v>103</v>
      </c>
      <c r="O21" s="4" t="s">
        <v>81</v>
      </c>
      <c r="P21" s="25" t="s">
        <v>104</v>
      </c>
      <c r="Q21" s="14" t="s">
        <v>106</v>
      </c>
    </row>
    <row r="22" spans="1:17" ht="35.1" customHeight="1">
      <c r="A22" s="4">
        <v>21</v>
      </c>
      <c r="H22" s="26" t="s">
        <v>105</v>
      </c>
      <c r="I22" s="27">
        <f>SUM(I2:I21)</f>
        <v>123.502562411765</v>
      </c>
    </row>
  </sheetData>
  <conditionalFormatting sqref="L1">
    <cfRule type="duplicateValues" dxfId="16" priority="14"/>
    <cfRule type="duplicateValues" dxfId="15" priority="15"/>
    <cfRule type="duplicateValues" dxfId="14" priority="16"/>
    <cfRule type="duplicateValues" dxfId="13" priority="17"/>
  </conditionalFormatting>
  <conditionalFormatting sqref="M1">
    <cfRule type="duplicateValues" dxfId="12" priority="11"/>
    <cfRule type="timePeriod" dxfId="11" priority="12" timePeriod="yesterday">
      <formula>FLOOR(M1,1)=TODAY()-1</formula>
    </cfRule>
    <cfRule type="duplicateValues" dxfId="10" priority="13"/>
  </conditionalFormatting>
  <conditionalFormatting sqref="N1">
    <cfRule type="duplicateValues" dxfId="9" priority="8"/>
    <cfRule type="timePeriod" dxfId="8" priority="9" timePeriod="yesterday">
      <formula>FLOOR(N1,1)=TODAY()-1</formula>
    </cfRule>
    <cfRule type="duplicateValues" dxfId="7" priority="10"/>
  </conditionalFormatting>
  <conditionalFormatting sqref="O1">
    <cfRule type="duplicateValues" dxfId="6" priority="5"/>
    <cfRule type="timePeriod" dxfId="5" priority="6" timePeriod="yesterday">
      <formula>FLOOR(O1,1)=TODAY()-1</formula>
    </cfRule>
    <cfRule type="duplicateValues" dxfId="4" priority="7"/>
  </conditionalFormatting>
  <conditionalFormatting sqref="Q1">
    <cfRule type="duplicateValues" dxfId="3" priority="2"/>
    <cfRule type="timePeriod" dxfId="2" priority="3" timePeriod="yesterday">
      <formula>FLOOR(Q1,1)=TODAY()-1</formula>
    </cfRule>
    <cfRule type="duplicateValues" dxfId="1" priority="4"/>
  </conditionalFormatting>
  <conditionalFormatting sqref="Q2:Q21">
    <cfRule type="expression" dxfId="0" priority="1">
      <formula>OR(MID($B2,2,1)="-",MID($B2,3,1)="-")</formula>
    </cfRule>
  </conditionalFormatting>
  <dataValidations count="1">
    <dataValidation type="list" allowBlank="1" showInputMessage="1" showErrorMessage="1" sqref="Q2:Q21" xr:uid="{00000000-0002-0000-0100-000000000000}">
      <formula1>"接受(acc),拒绝(rej)"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89772A1_BOM</vt:lpstr>
      <vt:lpstr>89772A1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John-Philip Taylor</cp:lastModifiedBy>
  <dcterms:created xsi:type="dcterms:W3CDTF">2026-05-11T05:51:00Z</dcterms:created>
  <dcterms:modified xsi:type="dcterms:W3CDTF">2026-05-11T11:41:09Z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A18B76FF500246C6A42487A1D9295199_13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  <property fmtid="{D5CDD505-2E9C-101B-9397-08002B2CF9AE}" pid="5" name="KSOReadingLayout">
    <vt:bool>true</vt:bool>
  </property>
</Properties>
</file>